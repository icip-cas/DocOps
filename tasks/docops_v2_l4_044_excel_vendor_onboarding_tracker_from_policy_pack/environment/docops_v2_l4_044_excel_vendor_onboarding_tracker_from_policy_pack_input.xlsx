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cker Template" sheetId="2" state="visible" r:id="rId2"/>
    <sheet xmlns:r="http://schemas.openxmlformats.org/officeDocument/2006/relationships" name="Vendor Track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ules" sheetId="5" state="hidden" r:id="rId5"/>
  </sheets>
  <definedNames>
    <definedName name="status_choices">'Rules'!$A$2:$A$5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endor_tracker_table" displayName="vendor_tracker_table" ref="A1:J7" headerRowCount="1">
  <autoFilter ref="A1:J7"/>
  <tableColumns count="10">
    <tableColumn id="1" name="Vendor ID"/>
    <tableColumn id="2" name="Vendor"/>
    <tableColumn id="3" name="Requirement"/>
    <tableColumn id="4" name="Required?"/>
    <tableColumn id="5" name="Owner"/>
    <tableColumn id="6" name="Status"/>
    <tableColumn id="7" name="Evidence ID"/>
    <tableColumn id="8" name="Source Page"/>
    <tableColumn id="9" name="Review Note"/>
    <tableColumn id="10" name="Release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Vendor Onboarding Release Tracker</t>
        </is>
      </c>
    </row>
    <row r="3">
      <c r="A3" s="2" t="inlineStr">
        <is>
          <t>Release cycle</t>
        </is>
      </c>
      <c r="B3" t="inlineStr">
        <is>
          <t>2026-Q3 weekly onboarding review</t>
        </is>
      </c>
    </row>
    <row r="4">
      <c r="A4" s="2" t="inlineStr">
        <is>
          <t>Status</t>
        </is>
      </c>
      <c r="B4" t="inlineStr">
        <is>
          <t>Draft</t>
        </is>
      </c>
    </row>
    <row r="6">
      <c r="A6" s="2" t="inlineStr">
        <is>
          <t>Instructions</t>
        </is>
      </c>
      <c r="B6" t="inlineStr">
        <is>
          <t>Fill required vendor rows from the policy packet, owner directory, and evidence index. Preserve formulas and the hidden Rules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  <col width="48" customWidth="1" min="9" max="9"/>
    <col width="16" customWidth="1" min="10" max="10"/>
  </cols>
  <sheetData>
    <row r="1">
      <c r="A1" s="3" t="inlineStr">
        <is>
          <t>Vendor ID</t>
        </is>
      </c>
      <c r="B1" s="3" t="inlineStr">
        <is>
          <t>Vendor</t>
        </is>
      </c>
      <c r="C1" s="3" t="inlineStr">
        <is>
          <t>Requirement</t>
        </is>
      </c>
      <c r="D1" s="3" t="inlineStr">
        <is>
          <t>Required?</t>
        </is>
      </c>
      <c r="E1" s="3" t="inlineStr">
        <is>
          <t>Owner</t>
        </is>
      </c>
      <c r="F1" s="3" t="inlineStr">
        <is>
          <t>Status</t>
        </is>
      </c>
      <c r="G1" s="3" t="inlineStr">
        <is>
          <t>Evidence ID</t>
        </is>
      </c>
      <c r="H1" s="3" t="inlineStr">
        <is>
          <t>Source Page</t>
        </is>
      </c>
      <c r="I1" s="3" t="inlineStr">
        <is>
          <t>Review Note</t>
        </is>
      </c>
      <c r="J1" s="3" t="inlineStr">
        <is>
          <t>Release Flag</t>
        </is>
      </c>
    </row>
    <row r="2">
      <c r="A2" s="4" t="inlineStr">
        <is>
          <t>T-000</t>
        </is>
      </c>
      <c r="B2" s="4" t="inlineStr">
        <is>
          <t>Template Vendor</t>
        </is>
      </c>
      <c r="C2" s="4" t="inlineStr">
        <is>
          <t>Template requirement</t>
        </is>
      </c>
      <c r="D2" s="4" t="inlineStr">
        <is>
          <t>Yes</t>
        </is>
      </c>
      <c r="E2" s="4" t="inlineStr">
        <is>
          <t>Template Owner</t>
        </is>
      </c>
      <c r="F2" s="4" t="inlineStr">
        <is>
          <t>Provided</t>
        </is>
      </c>
      <c r="G2" s="4" t="inlineStr">
        <is>
          <t>EVID-00</t>
        </is>
      </c>
      <c r="H2" s="4" t="inlineStr">
        <is>
          <t>p0</t>
        </is>
      </c>
      <c r="I2" s="4" t="inlineStr">
        <is>
          <t>Template note</t>
        </is>
      </c>
      <c r="J2" s="4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  <col width="48" customWidth="1" min="9" max="9"/>
    <col width="16" customWidth="1" min="10" max="10"/>
  </cols>
  <sheetData>
    <row r="1">
      <c r="A1" s="3" t="inlineStr">
        <is>
          <t>Vendor ID</t>
        </is>
      </c>
      <c r="B1" s="3" t="inlineStr">
        <is>
          <t>Vendor</t>
        </is>
      </c>
      <c r="C1" s="3" t="inlineStr">
        <is>
          <t>Requirement</t>
        </is>
      </c>
      <c r="D1" s="3" t="inlineStr">
        <is>
          <t>Required?</t>
        </is>
      </c>
      <c r="E1" s="3" t="inlineStr">
        <is>
          <t>Owner</t>
        </is>
      </c>
      <c r="F1" s="3" t="inlineStr">
        <is>
          <t>Status</t>
        </is>
      </c>
      <c r="G1" s="3" t="inlineStr">
        <is>
          <t>Evidence ID</t>
        </is>
      </c>
      <c r="H1" s="3" t="inlineStr">
        <is>
          <t>Source Page</t>
        </is>
      </c>
      <c r="I1" s="3" t="inlineStr">
        <is>
          <t>Review Note</t>
        </is>
      </c>
      <c r="J1" s="3" t="inlineStr">
        <is>
          <t>Release Flag</t>
        </is>
      </c>
    </row>
    <row r="2">
      <c r="A2" s="4" t="inlineStr">
        <is>
          <t>V-101</t>
        </is>
      </c>
      <c r="B2" s="4" t="inlineStr">
        <is>
          <t>Aurora Labs</t>
        </is>
      </c>
      <c r="C2" s="4" t="inlineStr">
        <is>
          <t>Access logging</t>
        </is>
      </c>
      <c r="D2" s="4" t="inlineStr">
        <is>
          <t>Yes</t>
        </is>
      </c>
      <c r="E2" s="4" t="inlineStr"/>
      <c r="F2" s="4" t="inlineStr"/>
      <c r="G2" s="4" t="inlineStr"/>
      <c r="H2" s="4" t="inlineStr"/>
      <c r="I2" s="4" t="inlineStr"/>
      <c r="J2" s="4" t="inlineStr"/>
    </row>
    <row r="3">
      <c r="A3" s="4" t="inlineStr">
        <is>
          <t>V-102</t>
        </is>
      </c>
      <c r="B3" s="4" t="inlineStr">
        <is>
          <t>Beacon Clinic</t>
        </is>
      </c>
      <c r="C3" s="4" t="inlineStr">
        <is>
          <t>Backup encryption</t>
        </is>
      </c>
      <c r="D3" s="4" t="inlineStr">
        <is>
          <t>Yes</t>
        </is>
      </c>
      <c r="E3" s="4" t="inlineStr"/>
      <c r="F3" s="4" t="inlineStr"/>
      <c r="G3" s="4" t="inlineStr"/>
      <c r="H3" s="4" t="inlineStr"/>
      <c r="I3" s="4" t="inlineStr"/>
      <c r="J3" s="4" t="inlineStr"/>
    </row>
    <row r="4">
      <c r="A4" s="4" t="inlineStr">
        <is>
          <t>V-103</t>
        </is>
      </c>
      <c r="B4" s="4" t="inlineStr">
        <is>
          <t>Cedar Pay</t>
        </is>
      </c>
      <c r="C4" s="4" t="inlineStr">
        <is>
          <t>Vendor access review</t>
        </is>
      </c>
      <c r="D4" s="4" t="inlineStr">
        <is>
          <t>Yes</t>
        </is>
      </c>
      <c r="E4" s="4" t="inlineStr"/>
      <c r="F4" s="4" t="inlineStr"/>
      <c r="G4" s="4" t="inlineStr"/>
      <c r="H4" s="4" t="inlineStr"/>
      <c r="I4" s="4" t="inlineStr"/>
      <c r="J4" s="4" t="inlineStr"/>
    </row>
    <row r="5">
      <c r="A5" s="4" t="inlineStr">
        <is>
          <t>V-104</t>
        </is>
      </c>
      <c r="B5" s="4" t="inlineStr">
        <is>
          <t>Delta Foods</t>
        </is>
      </c>
      <c r="C5" s="4" t="inlineStr">
        <is>
          <t>Customer-managed keys</t>
        </is>
      </c>
      <c r="D5" s="4" t="inlineStr">
        <is>
          <t>No</t>
        </is>
      </c>
      <c r="E5" s="4" t="inlineStr">
        <is>
          <t>Ava Chen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4" t="inlineStr">
        <is>
          <t>Optional control - leave unchanged.</t>
        </is>
      </c>
      <c r="J5" s="4" t="inlineStr">
        <is>
          <t>Ready</t>
        </is>
      </c>
    </row>
    <row r="6">
      <c r="A6" s="4" t="inlineStr">
        <is>
          <t>V-105</t>
        </is>
      </c>
      <c r="B6" s="4" t="inlineStr">
        <is>
          <t>Ember Health</t>
        </is>
      </c>
      <c r="C6" s="4" t="inlineStr">
        <is>
          <t>Incident response</t>
        </is>
      </c>
      <c r="D6" s="4" t="inlineStr">
        <is>
          <t>Yes</t>
        </is>
      </c>
      <c r="E6" s="4" t="inlineStr"/>
      <c r="F6" s="4" t="inlineStr"/>
      <c r="G6" s="4" t="inlineStr"/>
      <c r="H6" s="4" t="inlineStr"/>
      <c r="I6" s="4" t="inlineStr"/>
      <c r="J6" s="4" t="inlineStr"/>
    </row>
    <row r="7">
      <c r="A7" s="4" t="inlineStr">
        <is>
          <t>V-106</t>
        </is>
      </c>
      <c r="B7" s="4" t="inlineStr">
        <is>
          <t>Finch Retail</t>
        </is>
      </c>
      <c r="C7" s="4" t="inlineStr">
        <is>
          <t>Data processing agreement</t>
        </is>
      </c>
      <c r="D7" s="4" t="inlineStr">
        <is>
          <t>Yes</t>
        </is>
      </c>
      <c r="E7" s="4" t="inlineStr"/>
      <c r="F7" s="4" t="inlineStr"/>
      <c r="G7" s="4" t="inlineStr"/>
      <c r="H7" s="4" t="inlineStr"/>
      <c r="I7" s="4" t="inlineStr"/>
      <c r="J7" s="4" t="inlineStr"/>
    </row>
  </sheetData>
  <conditionalFormatting sqref="A2:J7">
    <cfRule type="expression" priority="1" dxfId="0">
      <formula>$F2="Partial"</formula>
    </cfRule>
    <cfRule type="expression" priority="2" dxfId="1">
      <formula>$F2="Missing"</formula>
    </cfRule>
  </conditionalFormatting>
  <dataValidations count="1">
    <dataValidation sqref="F2:F7" showDropDown="0" showInputMessage="0" showErrorMessage="0" allowBlank="0" type="list">
      <formula1>=status_choices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5" t="inlineStr">
        <is>
          <t>Release Summary</t>
        </is>
      </c>
    </row>
    <row r="2">
      <c r="A2" s="3" t="inlineStr">
        <is>
          <t>Metric</t>
        </is>
      </c>
      <c r="B2" s="3" t="inlineStr">
        <is>
          <t>Formula</t>
        </is>
      </c>
    </row>
    <row r="3">
      <c r="A3" s="4" t="inlineStr">
        <is>
          <t>Provided evidence</t>
        </is>
      </c>
      <c r="B3" s="4">
        <f>COUNTIF('Vendor Tracker'!F2:F7,"Provided")</f>
        <v/>
      </c>
    </row>
    <row r="4">
      <c r="A4" s="4" t="inlineStr">
        <is>
          <t>Partial evidence</t>
        </is>
      </c>
      <c r="B4" s="4">
        <f>COUNTIF('Vendor Tracker'!F2:F7,"Partial")</f>
        <v/>
      </c>
    </row>
    <row r="5">
      <c r="A5" s="4" t="inlineStr">
        <is>
          <t>Missing evidence</t>
        </is>
      </c>
      <c r="B5" s="4">
        <f>COUNTIF('Vendor Tracker'!F2:F7,"Missing")</f>
        <v/>
      </c>
    </row>
    <row r="6">
      <c r="A6" s="4" t="inlineStr">
        <is>
          <t>Ready vendors</t>
        </is>
      </c>
      <c r="B6" s="4">
        <f>COUNTIF('Vendor Tracker'!J2:J7,"Ready")</f>
        <v/>
      </c>
    </row>
    <row r="7">
      <c r="A7" s="4" t="inlineStr">
        <is>
          <t>Watch vendors</t>
        </is>
      </c>
      <c r="B7" s="4">
        <f>COUNTIF('Vendor Tracker'!J2:J7,"Watch")</f>
        <v/>
      </c>
    </row>
    <row r="8">
      <c r="A8" s="4" t="inlineStr">
        <is>
          <t>Hold vendors</t>
        </is>
      </c>
      <c r="B8" s="4">
        <f>COUNTIF('Vendor Tracker'!J2:J7,"Hold")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Choices</t>
        </is>
      </c>
      <c r="C1" t="inlineStr">
        <is>
          <t>Release Flag Logic</t>
        </is>
      </c>
    </row>
    <row r="2">
      <c r="A2" t="inlineStr">
        <is>
          <t>Provided</t>
        </is>
      </c>
      <c r="C2" t="inlineStr">
        <is>
          <t>Required + Provided =&gt; Ready</t>
        </is>
      </c>
    </row>
    <row r="3">
      <c r="A3" t="inlineStr">
        <is>
          <t>Partial</t>
        </is>
      </c>
      <c r="C3" t="inlineStr">
        <is>
          <t>Required + Partial =&gt; Watch</t>
        </is>
      </c>
    </row>
    <row r="4">
      <c r="A4" t="inlineStr">
        <is>
          <t>Missing</t>
        </is>
      </c>
      <c r="C4" t="inlineStr">
        <is>
          <t>Required + Missing =&gt; Hold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2026-06-22T16:37:40Z</dcterms:created>
  <dcterms:modified xmlns:dcterms="http://purl.org/dc/terms/" xmlns:xsi="http://www.w3.org/2001/XMLSchema-instance" xsi:type="dcterms:W3CDTF">2026-06-22T16:37:40Z</dcterms:modified>
</cp:coreProperties>
</file>