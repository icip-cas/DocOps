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460" activeTab="2"/>
  </bookViews>
  <sheets>
    <sheet name="Draft Summary" sheetId="1" r:id="rId1"/>
    <sheet name="Raw Transactions" sheetId="2" r:id="rId2"/>
    <sheet name="Archiv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<sst xmlns="http://schemas.openxmlformats.org/spreadsheetml/2006/main" count="48" uniqueCount="39">
  <si>
    <t>May Close Summary - Draft</t>
  </si>
  <si>
    <t>Revenue</t>
  </si>
  <si>
    <t>Expenses</t>
  </si>
  <si>
    <t>Net</t>
  </si>
  <si>
    <t>Exception Count</t>
  </si>
  <si>
    <t>Exception Amount</t>
  </si>
  <si>
    <t>Txn ID</t>
  </si>
  <si>
    <t>Date</t>
  </si>
  <si>
    <t>Vendor</t>
  </si>
  <si>
    <t>Draft Category</t>
  </si>
  <si>
    <t>Receipt ID</t>
  </si>
  <si>
    <t>Amount</t>
  </si>
  <si>
    <t>TRX-101</t>
  </si>
  <si>
    <t>2026-05-30</t>
  </si>
  <si>
    <t>Northstar Bank</t>
  </si>
  <si>
    <t>RC-1001</t>
  </si>
  <si>
    <t>TRX-102</t>
  </si>
  <si>
    <t>2026-05-31</t>
  </si>
  <si>
    <t>Harbor Print</t>
  </si>
  <si>
    <t>Expense</t>
  </si>
  <si>
    <t>RC-1002</t>
  </si>
  <si>
    <t>TRX-103</t>
  </si>
  <si>
    <t>TRX-104</t>
  </si>
  <si>
    <t>2026-06-01</t>
  </si>
  <si>
    <t>Civic Travel</t>
  </si>
  <si>
    <t>RC-1004</t>
  </si>
  <si>
    <t>TRX-105</t>
  </si>
  <si>
    <t>2026-06-02</t>
  </si>
  <si>
    <t>Zenith Foods</t>
  </si>
  <si>
    <t>RC-1005</t>
  </si>
  <si>
    <t>TRX-106</t>
  </si>
  <si>
    <t>Orion Logistics</t>
  </si>
  <si>
    <t>RC-1006</t>
  </si>
  <si>
    <t>TRX-107</t>
  </si>
  <si>
    <t>2026-06-03</t>
  </si>
  <si>
    <t>Cedar Advisory</t>
  </si>
  <si>
    <t>Travel</t>
  </si>
  <si>
    <t>RC-1007</t>
  </si>
  <si>
    <t>Prior close archive - preserve and hide for release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</si>
</sst>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name val="Arial"/>
      <charset val="134"/>
    </font>
    <font>
      <b/>
      <sz val="11"/>
      <color rgb="FFFFFFFF"/>
      <name val="Arial"/>
      <charset val="134"/>
    </font>
    <font>
      <sz val="10"/>
      <name val="Arial"/>
      <charset val="134"/>
    </font>
    <font>
      <b/>
      <sz val="11"/>
      <color rgb="FF1F4E79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4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A1" sqref="A1"/>
    </sheetView>
  </sheetViews>
  <sheetFormatPr defaultColWidth="9" defaultRowHeight="16.8" outlineLevelRow="7" outlineLevelCol="1"/>
  <cols>
    <col min="1" max="1" width="24" customWidth="1"/>
    <col min="2" max="2" width="18" customWidth="1"/>
  </cols>
  <sheetData>
    <row r="1" spans="1:2">
      <c r="A1" s="4" t="s">
        <v>0</v>
      </c>
    </row>
    <row r="3" spans="1:2">
      <c r="A3" s="4" t="s">
        <v>1</v>
      </c>
      <c r="B3">
        <v>25900</v>
      </c>
    </row>
    <row r="4" spans="1:2">
      <c r="A4" s="4" t="s">
        <v>2</v>
      </c>
      <c r="B4">
        <v>-3210</v>
      </c>
    </row>
    <row r="5" spans="1:2">
      <c r="A5" s="4" t="s">
        <v>3</v>
      </c>
      <c r="B5">
        <f>B3+B4</f>
        <v>22690</v>
      </c>
    </row>
    <row r="7" spans="1:2">
      <c r="A7" s="4" t="s">
        <v>4</v>
      </c>
      <c r="B7">
        <v>0</v>
      </c>
    </row>
    <row r="8" spans="1:2">
      <c r="A8" s="4" t="s">
        <v>5</v>
      </c>
      <c r="B8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A1" sqref="A1"/>
    </sheetView>
  </sheetViews>
  <sheetFormatPr defaultColWidth="9" defaultRowHeight="16.8" outlineLevelRow="7" outlineLevelCol="5"/>
  <sheetData>
    <row r="1" ht="51" spans="1:6">
      <c r="A1" s="2" t="s">
        <v>6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</row>
    <row r="2" ht="31" spans="1:6">
      <c r="A2" s="3" t="s">
        <v>12</v>
      </c>
      <c r="B2" s="3" t="s">
        <v>13</v>
      </c>
      <c r="C2" s="3" t="s">
        <v>14</v>
      </c>
      <c r="D2" s="3" t="s">
        <v>1</v>
      </c>
      <c r="E2" s="3" t="s">
        <v>15</v>
      </c>
      <c r="F2" s="3">
        <v>12400</v>
      </c>
    </row>
    <row r="3" ht="31" spans="1:6">
      <c r="A3" s="3" t="s">
        <v>16</v>
      </c>
      <c r="B3" s="3" t="s">
        <v>17</v>
      </c>
      <c r="C3" s="3" t="s">
        <v>18</v>
      </c>
      <c r="D3" s="3" t="s">
        <v>19</v>
      </c>
      <c r="E3" s="3" t="s">
        <v>20</v>
      </c>
      <c r="F3" s="3">
        <v>-1180</v>
      </c>
    </row>
    <row r="4" ht="31" spans="1:6">
      <c r="A4" s="3" t="s">
        <v>21</v>
      </c>
      <c r="B4" s="3" t="s">
        <v>17</v>
      </c>
      <c r="C4" s="3" t="s">
        <v>18</v>
      </c>
      <c r="D4" s="3" t="s">
        <v>19</v>
      </c>
      <c r="E4" s="3" t="s">
        <v>20</v>
      </c>
      <c r="F4" s="3">
        <v>-1180</v>
      </c>
    </row>
    <row r="5" ht="31" spans="1:6">
      <c r="A5" s="3" t="s">
        <v>22</v>
      </c>
      <c r="B5" s="3" t="s">
        <v>23</v>
      </c>
      <c r="C5" s="3" t="s">
        <v>24</v>
      </c>
      <c r="D5" s="3" t="s">
        <v>19</v>
      </c>
      <c r="E5" s="3" t="s">
        <v>25</v>
      </c>
      <c r="F5" s="3">
        <v>-875</v>
      </c>
    </row>
    <row r="6" ht="31" spans="1:6">
      <c r="A6" s="3" t="s">
        <v>26</v>
      </c>
      <c r="B6" s="3" t="s">
        <v>27</v>
      </c>
      <c r="C6" s="3" t="s">
        <v>28</v>
      </c>
      <c r="D6" s="3" t="s">
        <v>1</v>
      </c>
      <c r="E6" s="3" t="s">
        <v>29</v>
      </c>
      <c r="F6" s="3">
        <v>7400</v>
      </c>
    </row>
    <row r="7" ht="31" spans="1:6">
      <c r="A7" s="3" t="s">
        <v>30</v>
      </c>
      <c r="B7" s="3" t="s">
        <v>27</v>
      </c>
      <c r="C7" s="3" t="s">
        <v>31</v>
      </c>
      <c r="D7" s="3" t="s">
        <v>1</v>
      </c>
      <c r="E7" s="3" t="s">
        <v>32</v>
      </c>
      <c r="F7" s="3">
        <v>6100</v>
      </c>
    </row>
    <row r="8" ht="31" spans="1:6">
      <c r="A8" s="3" t="s">
        <v>33</v>
      </c>
      <c r="B8" s="3" t="s">
        <v>34</v>
      </c>
      <c r="C8" s="3" t="s">
        <v>35</v>
      </c>
      <c r="D8" s="3" t="s">
        <v>36</v>
      </c>
      <c r="E8" s="3" t="s">
        <v>37</v>
      </c>
      <c r="F8" s="3">
        <v>-1975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C4" sqref="C4"/>
    </sheetView>
  </sheetViews>
  <sheetFormatPr defaultColWidth="9" defaultRowHeight="16.8"/>
  <cols>
    <col min="1" max="1" width="61.375" customWidth="1"/>
  </cols>
  <sheetData>
    <row r="1" spans="1:1">
      <c r="A1" s="1" t="s">
        <v>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Draft Summary</vt:lpstr>
      <vt:lpstr>Raw Transactions</vt:lpstr>
      <vt:lpstr>Archive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Le丶rapide</cp:lastModifiedBy>
  <dcterms:created xsi:type="dcterms:W3CDTF">2026-06-23T14:36:00Z</dcterms:created>
  <dcterms:modified xsi:type="dcterms:W3CDTF">2026-06-23T15:17:49Z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BE633FF6F332BF101D333A6AED3C8431_42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