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Template" sheetId="2" state="visible" r:id="rId2"/>
    <sheet xmlns:r="http://schemas.openxmlformats.org/officeDocument/2006/relationships" name="Returned Sheets" sheetId="3" state="visible" r:id="rId3"/>
    <sheet xmlns:r="http://schemas.openxmlformats.org/officeDocument/2006/relationships" name="Approved Template" sheetId="4" state="visible" r:id="rId4"/>
    <sheet xmlns:r="http://schemas.openxmlformats.org/officeDocument/2006/relationships" name="Approved Holds" sheetId="5" state="visible" r:id="rId5"/>
    <sheet xmlns:r="http://schemas.openxmlformats.org/officeDocument/2006/relationships" name="Revision Dashboard" sheetId="6" state="visible" r:id="rId6"/>
    <sheet xmlns:r="http://schemas.openxmlformats.org/officeDocument/2006/relationships" name="Lookup" sheetId="7" state="hidden" r:id="rId7"/>
  </sheets>
  <definedNames>
    <definedName name="status_choices">Lookup!$A$2:$A$4</definedName>
    <definedName name="tracked_primary">'Returned Sheets'!$A$2:$A$4</definedName>
    <definedName name="tracked_secondary">'Approved Holds'!$A$2:$A$4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84A5B"/>
      </patternFill>
    </fill>
    <fill>
      <patternFill patternType="solid">
        <fgColor rgb="00245A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B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bench</author>
  </authors>
  <commentList>
    <comment ref="H2" authorId="0" shapeId="0">
      <text>
        <t>Escalate to program lead when status is Late.</t>
      </text>
    </comment>
  </commentList>
</comments>
</file>

<file path=xl/comments/comment2.xml><?xml version="1.0" encoding="utf-8"?>
<comments xmlns="http://schemas.openxmlformats.org/spreadsheetml/2006/main">
  <authors>
    <author>bench</author>
  </authors>
  <commentList>
    <comment ref="H2" authorId="0" shapeId="0">
      <text>
        <t>Escalate to program lead when status is Late.</t>
      </text>
    </comment>
  </commentList>
</comments>
</file>

<file path=xl/tables/table1.xml><?xml version="1.0" encoding="utf-8"?>
<table xmlns="http://schemas.openxmlformats.org/spreadsheetml/2006/main" id="1" name="primary_template_table" displayName="primary_template_table" ref="A1:H4" headerRowCount="1">
  <autoFilter ref="A1:H4"/>
  <tableColumns count="8">
    <tableColumn id="1" name="Item ID"/>
    <tableColumn id="2" name="Workstream"/>
    <tableColumn id="3" name="Owner"/>
    <tableColumn id="4" name="Team"/>
    <tableColumn id="5" name="Evidence"/>
    <tableColumn id="6" name="Status"/>
    <tableColumn id="7" name="Due Date"/>
    <tableColumn id="8" name="Escal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ondary_template_table" displayName="secondary_template_table" ref="A1:H4" headerRowCount="1">
  <autoFilter ref="A1:H4"/>
  <tableColumns count="8">
    <tableColumn id="1" name="Item ID"/>
    <tableColumn id="2" name="Workstream"/>
    <tableColumn id="3" name="Owner"/>
    <tableColumn id="4" name="Team"/>
    <tableColumn id="5" name="Evidence"/>
    <tableColumn id="6" name="Status"/>
    <tableColumn id="7" name="Due Date"/>
    <tableColumn id="8" name="Esca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Submittal Revision Control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7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RS-01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>
        <f>IF(F2="Late","Yes","No")</f>
        <v/>
      </c>
    </row>
    <row r="3">
      <c r="A3" s="3" t="inlineStr">
        <is>
          <t>RS-02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>
        <f>IF(F3="Late","Yes","No")</f>
        <v/>
      </c>
    </row>
    <row r="4">
      <c r="A4" s="3" t="inlineStr">
        <is>
          <t>RS-03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>
        <f>IF(F4="Late","Yes","No")</f>
        <v/>
      </c>
    </row>
  </sheetData>
  <conditionalFormatting sqref="A2:H4">
    <cfRule type="expression" priority="1" dxfId="0">
      <formula>$F2="Late"</formula>
    </cfRule>
  </conditionalFormatting>
  <dataValidations count="1">
    <dataValidation sqref="F2:F4" showDropDown="0" showInputMessage="0" showErrorMessage="0" allowBlank="1" type="list">
      <formula1>"Open,Late,Complete"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RS-01</t>
        </is>
      </c>
      <c r="B2" s="3" t="inlineStr">
        <is>
          <t>[Replace from template]</t>
        </is>
      </c>
      <c r="C2" s="3" t="inlineStr"/>
      <c r="D2" s="3" t="inlineStr"/>
      <c r="E2" s="3" t="inlineStr"/>
      <c r="F2" s="3" t="inlineStr"/>
      <c r="G2" s="3" t="inlineStr"/>
      <c r="H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7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AH-01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>
        <f>IF(F2="Late","Yes","No")</f>
        <v/>
      </c>
    </row>
    <row r="3">
      <c r="A3" s="3" t="inlineStr">
        <is>
          <t>AH-02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>
        <f>IF(F3="Late","Yes","No")</f>
        <v/>
      </c>
    </row>
    <row r="4">
      <c r="A4" s="3" t="inlineStr">
        <is>
          <t>AH-03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>
        <f>IF(F4="Late","Yes","No")</f>
        <v/>
      </c>
    </row>
  </sheetData>
  <conditionalFormatting sqref="A2:H4">
    <cfRule type="expression" priority="1" dxfId="0">
      <formula>$F2="Late"</formula>
    </cfRule>
  </conditionalFormatting>
  <dataValidations count="1">
    <dataValidation sqref="F2:F4" showDropDown="0" showInputMessage="0" showErrorMessage="0" allowBlank="1" type="list">
      <formula1>"Open,Late,Complete"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Item ID</t>
        </is>
      </c>
      <c r="B1" s="2" t="inlineStr">
        <is>
          <t>Workstream</t>
        </is>
      </c>
      <c r="C1" s="2" t="inlineStr">
        <is>
          <t>Owner</t>
        </is>
      </c>
      <c r="D1" s="2" t="inlineStr">
        <is>
          <t>Team</t>
        </is>
      </c>
      <c r="E1" s="2" t="inlineStr">
        <is>
          <t>Evidence</t>
        </is>
      </c>
      <c r="F1" s="2" t="inlineStr">
        <is>
          <t>Status</t>
        </is>
      </c>
      <c r="G1" s="2" t="inlineStr">
        <is>
          <t>Due Date</t>
        </is>
      </c>
      <c r="H1" s="2" t="inlineStr">
        <is>
          <t>Escalate</t>
        </is>
      </c>
    </row>
    <row r="2">
      <c r="A2" s="3" t="inlineStr">
        <is>
          <t>AH-01</t>
        </is>
      </c>
      <c r="B2" s="3" t="inlineStr">
        <is>
          <t>[Replace from template]</t>
        </is>
      </c>
      <c r="C2" s="3" t="inlineStr"/>
      <c r="D2" s="3" t="inlineStr"/>
      <c r="E2" s="3" t="inlineStr"/>
      <c r="F2" s="3" t="inlineStr"/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Open Count</t>
        </is>
      </c>
      <c r="B2" s="3">
        <f>COUNTIF('Returned Sheets'!F2:F4,"Open")+COUNTIF('Approved Holds'!F2:F4,"Open")</f>
        <v/>
      </c>
    </row>
    <row r="3">
      <c r="A3" s="3" t="inlineStr">
        <is>
          <t>Late Count</t>
        </is>
      </c>
      <c r="B3" s="3">
        <f>COUNTIF('Returned Sheets'!F2:F4,"Late")+COUNTIF('Approved Holds'!F2:F4,"Late")</f>
        <v/>
      </c>
    </row>
    <row r="4">
      <c r="A4" s="3" t="inlineStr">
        <is>
          <t>Complete Count</t>
        </is>
      </c>
      <c r="B4" s="3">
        <f>COUNTIF('Returned Sheets'!F2:F4,"Complete")+COUNTIF('Approved Holds'!F2:F4,"Complete")</f>
        <v/>
      </c>
    </row>
    <row r="5">
      <c r="A5" s="3" t="inlineStr">
        <is>
          <t>Total Items</t>
        </is>
      </c>
      <c r="B5" s="3">
        <f>ROWS('Returned Sheets'!A2:A4)+ROWS('Approved Holds'!A2:A4)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Choice</t>
        </is>
      </c>
    </row>
    <row r="2">
      <c r="A2" s="3" t="inlineStr">
        <is>
          <t>Open</t>
        </is>
      </c>
    </row>
    <row r="3">
      <c r="A3" s="3" t="inlineStr">
        <is>
          <t>Late</t>
        </is>
      </c>
    </row>
    <row r="4">
      <c r="A4" s="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